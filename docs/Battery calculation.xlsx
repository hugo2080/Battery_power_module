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bbf16ba970729b/"/>
    </mc:Choice>
  </mc:AlternateContent>
  <xr:revisionPtr revIDLastSave="234" documentId="8_{99AF0797-AAC5-4178-A041-A1D9AC858812}" xr6:coauthVersionLast="47" xr6:coauthVersionMax="47" xr10:uidLastSave="{1F07D97B-8695-414E-B425-86D3F0D1985A}"/>
  <bookViews>
    <workbookView xWindow="-108" yWindow="-108" windowWidth="23256" windowHeight="12576" xr2:uid="{57734782-2E7E-4D71-A227-144D56D72A4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2" i="1"/>
  <c r="K11" i="1"/>
  <c r="K10" i="1"/>
  <c r="K9" i="1"/>
  <c r="K8" i="1"/>
  <c r="K7" i="1"/>
  <c r="K6" i="1"/>
  <c r="E29" i="1"/>
  <c r="E28" i="1"/>
  <c r="E27" i="1"/>
  <c r="E26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0" i="1"/>
  <c r="E22" i="1"/>
  <c r="E24" i="1"/>
  <c r="E25" i="1"/>
  <c r="E2" i="1"/>
</calcChain>
</file>

<file path=xl/sharedStrings.xml><?xml version="1.0" encoding="utf-8"?>
<sst xmlns="http://schemas.openxmlformats.org/spreadsheetml/2006/main" count="88" uniqueCount="66">
  <si>
    <t>Manufacturer Part No.</t>
  </si>
  <si>
    <t>Capacity (mAh)</t>
  </si>
  <si>
    <t>Dimensions (LxWxH) (mm)</t>
  </si>
  <si>
    <t>Price (zł)</t>
  </si>
  <si>
    <t>AKY0128</t>
  </si>
  <si>
    <t>38,5x21x4,5</t>
  </si>
  <si>
    <t>AKY0384</t>
  </si>
  <si>
    <t>32,5x18x6,5</t>
  </si>
  <si>
    <t>AKY0385</t>
  </si>
  <si>
    <t>47,5x28x4</t>
  </si>
  <si>
    <t>AKY0106</t>
  </si>
  <si>
    <t>32,5x21x5,5</t>
  </si>
  <si>
    <t>AKY0300</t>
  </si>
  <si>
    <t>42,5x31x3,5</t>
  </si>
  <si>
    <t>AKY0822</t>
  </si>
  <si>
    <t>43,5x35x3,4</t>
  </si>
  <si>
    <t>AKY0486</t>
  </si>
  <si>
    <t>50,5x23x5,5</t>
  </si>
  <si>
    <t>AKY0386</t>
  </si>
  <si>
    <t>35,5x30x4</t>
  </si>
  <si>
    <t>AKY0646</t>
  </si>
  <si>
    <t>55,5x32x6</t>
  </si>
  <si>
    <t>AKY0657</t>
  </si>
  <si>
    <t>32,5x21x8</t>
  </si>
  <si>
    <t>AKY0185</t>
  </si>
  <si>
    <t>42,5x31x5,5</t>
  </si>
  <si>
    <t>AKY0392</t>
  </si>
  <si>
    <t>50,5x33x4,5</t>
  </si>
  <si>
    <t>AKY0620</t>
  </si>
  <si>
    <t>52,5x35x5,7</t>
  </si>
  <si>
    <t>AKY0826</t>
  </si>
  <si>
    <t>52,5x41x3,5</t>
  </si>
  <si>
    <t>AKY0823</t>
  </si>
  <si>
    <t>39,5x24x5,9</t>
  </si>
  <si>
    <t>AKY0383</t>
  </si>
  <si>
    <t>52,5x35x4,9</t>
  </si>
  <si>
    <t>AKY0081</t>
  </si>
  <si>
    <t>50,5x34x5,7</t>
  </si>
  <si>
    <t>AKY0559</t>
  </si>
  <si>
    <t>50,5x35x5,5</t>
  </si>
  <si>
    <t>AKY0833</t>
  </si>
  <si>
    <t>AKY0972</t>
  </si>
  <si>
    <t>47,5x18x5,5</t>
  </si>
  <si>
    <t>AKY0099</t>
  </si>
  <si>
    <t>50,5x34x9</t>
  </si>
  <si>
    <t>AKY0655</t>
  </si>
  <si>
    <t>58,5x21x6</t>
  </si>
  <si>
    <t>AKY0108</t>
  </si>
  <si>
    <t>48,5x30x6</t>
  </si>
  <si>
    <t>AKY0661</t>
  </si>
  <si>
    <t>40,5x20x8,5</t>
  </si>
  <si>
    <t>AKY0622</t>
  </si>
  <si>
    <t>40,5x34x8,8</t>
  </si>
  <si>
    <t>AKY0662</t>
  </si>
  <si>
    <t>37,5x31x10,5</t>
  </si>
  <si>
    <t>AKY0638</t>
  </si>
  <si>
    <t>50,5x34x6</t>
  </si>
  <si>
    <t>AKY0658</t>
  </si>
  <si>
    <t>38,5x37x8</t>
  </si>
  <si>
    <t>AKY0571</t>
  </si>
  <si>
    <t>40,5x30x8</t>
  </si>
  <si>
    <t>Comments:</t>
  </si>
  <si>
    <t>If any of the dimensions was greater than or equal to 54x28x10 (LxWxH), Manufacturer Part No. was marked in red.</t>
  </si>
  <si>
    <t>After elimination:</t>
  </si>
  <si>
    <t>Choice: AKY0823 because it has matching dimensions, more than twice the capacity of CR2032 and a high capacity to price ratio.</t>
  </si>
  <si>
    <t>Capacity to price ratio (mAh/zł)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</si>
</sst>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915A-6BCD-4F0A-89E2-74A9E90AD86C}">
  <dimension ref="A1:K30"/>
  <sheetViews>
    <sheetView tabSelected="1" workbookViewId="0">
      <selection activeCell="K5" sqref="K5"/>
    </sheetView>
  </sheetViews>
  <sheetFormatPr defaultRowHeight="14.4" x14ac:dyDescent="0.3"/>
  <cols>
    <col min="1" max="1" width="19" bestFit="1" customWidth="1"/>
    <col min="2" max="2" width="13.21875" bestFit="1" customWidth="1"/>
    <col min="3" max="3" width="22.21875" bestFit="1" customWidth="1"/>
    <col min="4" max="4" width="7.88671875" bestFit="1" customWidth="1"/>
    <col min="5" max="5" width="25.77734375" bestFit="1" customWidth="1"/>
    <col min="7" max="7" width="19" customWidth="1"/>
    <col min="8" max="8" width="13.21875" bestFit="1" customWidth="1"/>
    <col min="9" max="9" width="22.21875" bestFit="1" customWidth="1"/>
    <col min="10" max="10" width="7.88671875" bestFit="1" customWidth="1"/>
    <col min="11" max="11" width="2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65</v>
      </c>
      <c r="G1" t="s">
        <v>61</v>
      </c>
    </row>
    <row r="2" spans="1:11" x14ac:dyDescent="0.3">
      <c r="A2" t="s">
        <v>4</v>
      </c>
      <c r="B2">
        <v>220</v>
      </c>
      <c r="C2" t="s">
        <v>5</v>
      </c>
      <c r="D2">
        <v>12.46</v>
      </c>
      <c r="E2" s="1">
        <f>B2/D2</f>
        <v>17.656500802568218</v>
      </c>
      <c r="G2" t="s">
        <v>62</v>
      </c>
    </row>
    <row r="3" spans="1:11" x14ac:dyDescent="0.3">
      <c r="A3" t="s">
        <v>6</v>
      </c>
      <c r="B3">
        <v>250</v>
      </c>
      <c r="C3" t="s">
        <v>7</v>
      </c>
      <c r="D3">
        <v>12.46</v>
      </c>
      <c r="E3" s="1">
        <f t="shared" ref="E3:E29" si="0">B3/D3</f>
        <v>20.064205457463881</v>
      </c>
    </row>
    <row r="4" spans="1:11" x14ac:dyDescent="0.3">
      <c r="A4" s="2" t="s">
        <v>8</v>
      </c>
      <c r="B4">
        <v>270</v>
      </c>
      <c r="C4" t="s">
        <v>9</v>
      </c>
      <c r="D4">
        <v>13.53</v>
      </c>
      <c r="E4" s="1">
        <f t="shared" si="0"/>
        <v>19.955654101995567</v>
      </c>
      <c r="G4" t="s">
        <v>63</v>
      </c>
    </row>
    <row r="5" spans="1:11" x14ac:dyDescent="0.3">
      <c r="A5" t="s">
        <v>10</v>
      </c>
      <c r="B5">
        <v>250</v>
      </c>
      <c r="C5" t="s">
        <v>11</v>
      </c>
      <c r="D5">
        <v>13.53</v>
      </c>
      <c r="E5" s="1">
        <f t="shared" si="0"/>
        <v>18.477457501847745</v>
      </c>
      <c r="G5" t="s">
        <v>0</v>
      </c>
      <c r="H5" t="s">
        <v>1</v>
      </c>
      <c r="I5" t="s">
        <v>2</v>
      </c>
      <c r="J5" t="s">
        <v>3</v>
      </c>
      <c r="K5" t="s">
        <v>65</v>
      </c>
    </row>
    <row r="6" spans="1:11" x14ac:dyDescent="0.3">
      <c r="A6" s="2" t="s">
        <v>12</v>
      </c>
      <c r="B6">
        <v>320</v>
      </c>
      <c r="C6" t="s">
        <v>13</v>
      </c>
      <c r="D6">
        <v>13.93</v>
      </c>
      <c r="E6" s="1">
        <f t="shared" si="0"/>
        <v>22.972002871500358</v>
      </c>
      <c r="G6" t="s">
        <v>4</v>
      </c>
      <c r="H6">
        <v>220</v>
      </c>
      <c r="I6" t="s">
        <v>5</v>
      </c>
      <c r="J6">
        <v>12.46</v>
      </c>
      <c r="K6" s="1">
        <f>H6/J6</f>
        <v>17.656500802568218</v>
      </c>
    </row>
    <row r="7" spans="1:11" x14ac:dyDescent="0.3">
      <c r="A7" s="2" t="s">
        <v>14</v>
      </c>
      <c r="B7">
        <v>400</v>
      </c>
      <c r="C7" t="s">
        <v>15</v>
      </c>
      <c r="D7">
        <v>14.1</v>
      </c>
      <c r="E7" s="1">
        <f t="shared" si="0"/>
        <v>28.368794326241137</v>
      </c>
      <c r="G7" t="s">
        <v>6</v>
      </c>
      <c r="H7">
        <v>250</v>
      </c>
      <c r="I7" t="s">
        <v>7</v>
      </c>
      <c r="J7">
        <v>12.46</v>
      </c>
      <c r="K7" s="1">
        <f t="shared" ref="K7:K13" si="1">H7/J7</f>
        <v>20.064205457463881</v>
      </c>
    </row>
    <row r="8" spans="1:11" x14ac:dyDescent="0.3">
      <c r="A8" t="s">
        <v>16</v>
      </c>
      <c r="B8">
        <v>450</v>
      </c>
      <c r="C8" t="s">
        <v>17</v>
      </c>
      <c r="D8">
        <v>15.54</v>
      </c>
      <c r="E8" s="1">
        <f t="shared" si="0"/>
        <v>28.957528957528957</v>
      </c>
      <c r="G8" t="s">
        <v>10</v>
      </c>
      <c r="H8">
        <v>250</v>
      </c>
      <c r="I8" t="s">
        <v>11</v>
      </c>
      <c r="J8">
        <v>13.53</v>
      </c>
      <c r="K8" s="1">
        <f t="shared" si="1"/>
        <v>18.477457501847745</v>
      </c>
    </row>
    <row r="9" spans="1:11" x14ac:dyDescent="0.3">
      <c r="A9" s="2" t="s">
        <v>18</v>
      </c>
      <c r="B9">
        <v>400</v>
      </c>
      <c r="C9" t="s">
        <v>19</v>
      </c>
      <c r="D9">
        <v>15.75</v>
      </c>
      <c r="E9" s="1">
        <f t="shared" si="0"/>
        <v>25.396825396825395</v>
      </c>
      <c r="G9" t="s">
        <v>16</v>
      </c>
      <c r="H9">
        <v>450</v>
      </c>
      <c r="I9" t="s">
        <v>17</v>
      </c>
      <c r="J9">
        <v>15.54</v>
      </c>
      <c r="K9" s="1">
        <f t="shared" si="1"/>
        <v>28.957528957528957</v>
      </c>
    </row>
    <row r="10" spans="1:11" x14ac:dyDescent="0.3">
      <c r="A10" s="2" t="s">
        <v>20</v>
      </c>
      <c r="B10">
        <v>1100</v>
      </c>
      <c r="C10" t="s">
        <v>21</v>
      </c>
      <c r="D10">
        <v>16.18</v>
      </c>
      <c r="E10" s="1">
        <f t="shared" si="0"/>
        <v>67.985166872682328</v>
      </c>
      <c r="G10" t="s">
        <v>22</v>
      </c>
      <c r="H10">
        <v>300</v>
      </c>
      <c r="I10" t="s">
        <v>23</v>
      </c>
      <c r="J10">
        <v>16.18</v>
      </c>
      <c r="K10" s="1">
        <f t="shared" si="1"/>
        <v>18.54140914709518</v>
      </c>
    </row>
    <row r="11" spans="1:11" x14ac:dyDescent="0.3">
      <c r="A11" t="s">
        <v>22</v>
      </c>
      <c r="B11">
        <v>300</v>
      </c>
      <c r="C11" t="s">
        <v>23</v>
      </c>
      <c r="D11">
        <v>16.18</v>
      </c>
      <c r="E11" s="1">
        <f t="shared" si="0"/>
        <v>18.54140914709518</v>
      </c>
      <c r="G11" s="3" t="s">
        <v>32</v>
      </c>
      <c r="H11">
        <v>500</v>
      </c>
      <c r="I11" t="s">
        <v>33</v>
      </c>
      <c r="J11">
        <v>17.61</v>
      </c>
      <c r="K11" s="1">
        <f t="shared" si="1"/>
        <v>28.392958546280525</v>
      </c>
    </row>
    <row r="12" spans="1:11" x14ac:dyDescent="0.3">
      <c r="A12" s="2" t="s">
        <v>24</v>
      </c>
      <c r="B12">
        <v>550</v>
      </c>
      <c r="C12" t="s">
        <v>25</v>
      </c>
      <c r="D12">
        <v>16.32</v>
      </c>
      <c r="E12" s="1">
        <f t="shared" si="0"/>
        <v>33.700980392156865</v>
      </c>
      <c r="G12" t="s">
        <v>41</v>
      </c>
      <c r="H12">
        <v>360</v>
      </c>
      <c r="I12" t="s">
        <v>42</v>
      </c>
      <c r="J12">
        <v>19.440000000000001</v>
      </c>
      <c r="K12" s="1">
        <f t="shared" si="1"/>
        <v>18.518518518518519</v>
      </c>
    </row>
    <row r="13" spans="1:11" x14ac:dyDescent="0.3">
      <c r="A13" s="2" t="s">
        <v>26</v>
      </c>
      <c r="B13">
        <v>800</v>
      </c>
      <c r="C13" t="s">
        <v>27</v>
      </c>
      <c r="D13">
        <v>16.47</v>
      </c>
      <c r="E13" s="1">
        <f t="shared" si="0"/>
        <v>48.573163327261689</v>
      </c>
      <c r="G13" t="s">
        <v>49</v>
      </c>
      <c r="H13">
        <v>620</v>
      </c>
      <c r="I13" t="s">
        <v>50</v>
      </c>
      <c r="J13">
        <v>20.98</v>
      </c>
      <c r="K13" s="1">
        <f t="shared" si="1"/>
        <v>29.551954242135366</v>
      </c>
    </row>
    <row r="14" spans="1:11" x14ac:dyDescent="0.3">
      <c r="A14" s="2" t="s">
        <v>28</v>
      </c>
      <c r="B14">
        <v>900</v>
      </c>
      <c r="C14" t="s">
        <v>29</v>
      </c>
      <c r="D14">
        <v>17.329999999999998</v>
      </c>
      <c r="E14" s="1">
        <f t="shared" si="0"/>
        <v>51.933064050779002</v>
      </c>
    </row>
    <row r="15" spans="1:11" x14ac:dyDescent="0.3">
      <c r="A15" s="2" t="s">
        <v>30</v>
      </c>
      <c r="B15">
        <v>600</v>
      </c>
      <c r="C15" t="s">
        <v>31</v>
      </c>
      <c r="D15">
        <v>17.54</v>
      </c>
      <c r="E15" s="1">
        <f t="shared" si="0"/>
        <v>34.207525655644247</v>
      </c>
      <c r="G15" t="s">
        <v>64</v>
      </c>
    </row>
    <row r="16" spans="1:11" x14ac:dyDescent="0.3">
      <c r="A16" t="s">
        <v>32</v>
      </c>
      <c r="B16">
        <v>500</v>
      </c>
      <c r="C16" t="s">
        <v>33</v>
      </c>
      <c r="D16">
        <v>17.61</v>
      </c>
      <c r="E16" s="1">
        <f t="shared" si="0"/>
        <v>28.392958546280525</v>
      </c>
    </row>
    <row r="17" spans="1:5" x14ac:dyDescent="0.3">
      <c r="A17" s="2" t="s">
        <v>34</v>
      </c>
      <c r="B17">
        <v>750</v>
      </c>
      <c r="C17" t="s">
        <v>35</v>
      </c>
      <c r="D17">
        <v>17.899999999999999</v>
      </c>
      <c r="E17" s="1">
        <f t="shared" si="0"/>
        <v>41.899441340782126</v>
      </c>
    </row>
    <row r="18" spans="1:5" x14ac:dyDescent="0.3">
      <c r="A18" s="2" t="s">
        <v>36</v>
      </c>
      <c r="B18">
        <v>980</v>
      </c>
      <c r="C18" t="s">
        <v>37</v>
      </c>
      <c r="D18">
        <v>18.62</v>
      </c>
      <c r="E18" s="1">
        <f t="shared" si="0"/>
        <v>52.631578947368418</v>
      </c>
    </row>
    <row r="19" spans="1:5" x14ac:dyDescent="0.3">
      <c r="A19" s="2" t="s">
        <v>38</v>
      </c>
      <c r="B19">
        <v>800</v>
      </c>
      <c r="C19" t="s">
        <v>39</v>
      </c>
      <c r="D19">
        <v>19.05</v>
      </c>
      <c r="E19" s="1">
        <f t="shared" si="0"/>
        <v>41.99475065616798</v>
      </c>
    </row>
    <row r="20" spans="1:5" x14ac:dyDescent="0.3">
      <c r="A20" s="2" t="s">
        <v>40</v>
      </c>
      <c r="B20">
        <v>560</v>
      </c>
      <c r="C20" t="s">
        <v>25</v>
      </c>
      <c r="D20">
        <v>19.12</v>
      </c>
      <c r="E20" s="1">
        <f t="shared" si="0"/>
        <v>29.28870292887029</v>
      </c>
    </row>
    <row r="21" spans="1:5" x14ac:dyDescent="0.3">
      <c r="A21" t="s">
        <v>41</v>
      </c>
      <c r="B21">
        <v>360</v>
      </c>
      <c r="C21" t="s">
        <v>42</v>
      </c>
      <c r="D21">
        <v>19.440000000000001</v>
      </c>
      <c r="E21" s="1">
        <f t="shared" si="0"/>
        <v>18.518518518518519</v>
      </c>
    </row>
    <row r="22" spans="1:5" x14ac:dyDescent="0.3">
      <c r="A22" s="2" t="s">
        <v>45</v>
      </c>
      <c r="B22">
        <v>750</v>
      </c>
      <c r="C22" t="s">
        <v>46</v>
      </c>
      <c r="D22">
        <v>20.260000000000002</v>
      </c>
      <c r="E22" s="1">
        <f>B22/D22</f>
        <v>37.018756169792695</v>
      </c>
    </row>
    <row r="23" spans="1:5" x14ac:dyDescent="0.3">
      <c r="A23" s="2" t="s">
        <v>47</v>
      </c>
      <c r="B23">
        <v>850</v>
      </c>
      <c r="C23" t="s">
        <v>48</v>
      </c>
      <c r="D23">
        <v>20.98</v>
      </c>
      <c r="E23" s="1">
        <f t="shared" si="0"/>
        <v>40.514775977121069</v>
      </c>
    </row>
    <row r="24" spans="1:5" x14ac:dyDescent="0.3">
      <c r="A24" t="s">
        <v>49</v>
      </c>
      <c r="B24">
        <v>620</v>
      </c>
      <c r="C24" t="s">
        <v>50</v>
      </c>
      <c r="D24">
        <v>20.98</v>
      </c>
      <c r="E24" s="1">
        <f t="shared" si="0"/>
        <v>29.551954242135366</v>
      </c>
    </row>
    <row r="25" spans="1:5" x14ac:dyDescent="0.3">
      <c r="A25" s="2" t="s">
        <v>51</v>
      </c>
      <c r="B25">
        <v>1200</v>
      </c>
      <c r="C25" t="s">
        <v>52</v>
      </c>
      <c r="D25">
        <v>21.77</v>
      </c>
      <c r="E25" s="1">
        <f t="shared" si="0"/>
        <v>55.121727147450621</v>
      </c>
    </row>
    <row r="26" spans="1:5" x14ac:dyDescent="0.3">
      <c r="A26" s="2" t="s">
        <v>53</v>
      </c>
      <c r="B26">
        <v>1050</v>
      </c>
      <c r="C26" t="s">
        <v>54</v>
      </c>
      <c r="D26">
        <v>23.59</v>
      </c>
      <c r="E26" s="1">
        <f t="shared" si="0"/>
        <v>44.510385756676556</v>
      </c>
    </row>
    <row r="27" spans="1:5" x14ac:dyDescent="0.3">
      <c r="A27" s="2" t="s">
        <v>55</v>
      </c>
      <c r="B27">
        <v>1200</v>
      </c>
      <c r="C27" t="s">
        <v>56</v>
      </c>
      <c r="D27">
        <v>24.7</v>
      </c>
      <c r="E27" s="1">
        <f t="shared" si="0"/>
        <v>48.582995951417004</v>
      </c>
    </row>
    <row r="28" spans="1:5" x14ac:dyDescent="0.3">
      <c r="A28" s="2" t="s">
        <v>57</v>
      </c>
      <c r="B28">
        <v>1000</v>
      </c>
      <c r="C28" t="s">
        <v>58</v>
      </c>
      <c r="D28">
        <v>24.92</v>
      </c>
      <c r="E28" s="1">
        <f t="shared" si="0"/>
        <v>40.128410914927763</v>
      </c>
    </row>
    <row r="29" spans="1:5" x14ac:dyDescent="0.3">
      <c r="A29" s="2" t="s">
        <v>59</v>
      </c>
      <c r="B29">
        <v>1000</v>
      </c>
      <c r="C29" t="s">
        <v>60</v>
      </c>
      <c r="D29">
        <v>24.92</v>
      </c>
      <c r="E29" s="1">
        <f t="shared" si="0"/>
        <v>40.128410914927763</v>
      </c>
    </row>
    <row r="30" spans="1:5" x14ac:dyDescent="0.3">
      <c r="A30" s="2" t="s">
        <v>43</v>
      </c>
      <c r="B30">
        <v>1600</v>
      </c>
      <c r="C30" t="s">
        <v>44</v>
      </c>
      <c r="D30">
        <v>26.78</v>
      </c>
      <c r="E30" s="1">
        <f>B30/D30</f>
        <v>59.746079163554889</v>
      </c>
    </row>
  </sheetData>
  <conditionalFormatting sqref="E2:E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Gnyp</dc:creator>
  <cp:lastModifiedBy>Hubert Gnyp</cp:lastModifiedBy>
  <dcterms:created xsi:type="dcterms:W3CDTF">2026-02-06T10:26:59Z</dcterms:created>
  <dcterms:modified xsi:type="dcterms:W3CDTF">2026-02-06T11:26:02Z</dcterms:modified>
</cp:coreProperties>
</file>